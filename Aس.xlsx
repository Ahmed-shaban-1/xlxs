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Exercise 1" sheetId="1" r:id="rId1"/>
  </sheets>
  <definedNames>
    <definedName name="_xlnm._FilterDatabase" localSheetId="0" hidden="1">'Exercise 1'!$A$1:$G$27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<sst xmlns="http://schemas.openxmlformats.org/spreadsheetml/2006/main" count="132" uniqueCount="46">
  <si>
    <t>Order no.</t>
  </si>
  <si>
    <t>Date</t>
  </si>
  <si>
    <t>Driver's name</t>
  </si>
  <si>
    <t>Item</t>
  </si>
  <si>
    <t>Number of items</t>
  </si>
  <si>
    <t>Transport</t>
  </si>
  <si>
    <t>Destination</t>
  </si>
  <si>
    <t>John May</t>
  </si>
  <si>
    <t>TV</t>
  </si>
  <si>
    <t>truck 4</t>
  </si>
  <si>
    <t>Boston</t>
  </si>
  <si>
    <t>Peter White</t>
  </si>
  <si>
    <t>washing machine</t>
  </si>
  <si>
    <t>truck 3</t>
  </si>
  <si>
    <t>NY</t>
  </si>
  <si>
    <t>Carl Nowak</t>
  </si>
  <si>
    <t>Philadelphia</t>
  </si>
  <si>
    <t>George Ramsay</t>
  </si>
  <si>
    <t>refrigerator</t>
  </si>
  <si>
    <t>truck 1</t>
  </si>
  <si>
    <t>Baltimore</t>
  </si>
  <si>
    <t>truck 2</t>
  </si>
  <si>
    <t>Pittsburgh</t>
  </si>
  <si>
    <t>Mertl Pavel</t>
  </si>
  <si>
    <t>microwave</t>
  </si>
  <si>
    <t>airplane</t>
  </si>
  <si>
    <t>Analysis Areas</t>
  </si>
  <si>
    <t>Result</t>
  </si>
  <si>
    <t>number of orders in Boston :</t>
  </si>
  <si>
    <t>number of microwave orders  :</t>
  </si>
  <si>
    <t>number of journeys with truck 3:</t>
  </si>
  <si>
    <t>number of Peter White journeys:</t>
  </si>
  <si>
    <t>how many times are no. of items less than 20:</t>
  </si>
  <si>
    <t>important</t>
  </si>
  <si>
    <t>sum of refrigerator items:</t>
  </si>
  <si>
    <t>sum of washing machine items:</t>
  </si>
  <si>
    <t>sum of items transported by truck 4:</t>
  </si>
  <si>
    <t>sum of items transported by trucks: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</si>
  <si>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</si>
  <si>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</si>
  <si>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</si>
  <si>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</si>
  <si>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sum of microwaves transported to NY:</t>
  </si>
  <si>
    <t>sum of items transported to Pittsburgh by truck 1:</t>
  </si>
  <si>
    <t>sum of items ordered between 2/3/2013 and 2/6/2013:</t>
  </si>
  <si>
    <t>sum of items transported to NY, Baltimore and Philadelphia: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</si>
</sst>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238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 CE"/>
      <charset val="238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/>
    <xf numFmtId="0" fontId="23" fillId="0" borderId="0"/>
  </cellStyleXfs>
  <cellXfs count="16">
    <xf numFmtId="0" fontId="0" fillId="0" borderId="0" xfId="0"/>
    <xf numFmtId="58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58" fontId="0" fillId="2" borderId="1" xfId="0" applyNumberFormat="1" applyFill="1" applyBorder="1" applyAlignment="1">
      <alignment horizontal="center" vertical="center" wrapText="1"/>
    </xf>
    <xf numFmtId="0" fontId="0" fillId="0" borderId="1" xfId="0" applyBorder="1"/>
    <xf numFmtId="58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2" fillId="0" borderId="0" xfId="0" applyFont="1"/>
    <xf numFmtId="0" fontId="3" fillId="0" borderId="0" xfId="0" applyFont="1" applyAlignment="1">
      <alignment horizontal="left"/>
    </xf>
    <xf numFmtId="0" fontId="0" fillId="5" borderId="0" xfId="0" applyFill="1"/>
    <xf numFmtId="0" fontId="0" fillId="0" borderId="0" xfId="0" applyFill="1"/>
    <xf numFmtId="0" fontId="0" fillId="0" borderId="0" xfId="0" applyBorder="1" applyAlignment="1">
      <alignment horizontal="center"/>
    </xf>
    <xf numFmtId="0" fontId="0" fillId="0" borderId="0" xfId="0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ální_List1" xfId="49"/>
    <cellStyle name="normální_List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abSelected="1" topLeftCell="A21" workbookViewId="0">
      <selection activeCell="C30" sqref="C30"/>
    </sheetView>
  </sheetViews>
  <sheetFormatPr defaultColWidth="9" defaultRowHeight="15"/>
  <cols>
    <col min="2" max="2" width="11.6666666666667" style="1" customWidth="1"/>
    <col min="3" max="3" width="17.4380952380952" customWidth="1"/>
    <col min="4" max="4" width="17.552380952381" customWidth="1"/>
    <col min="5" max="5" width="36.3333333333333" customWidth="1"/>
    <col min="7" max="7" width="13.3333333333333" customWidth="1"/>
  </cols>
  <sheetData>
    <row r="1" ht="30" spans="1:7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100001</v>
      </c>
      <c r="B2" s="5">
        <v>41306</v>
      </c>
      <c r="C2" s="4" t="s">
        <v>7</v>
      </c>
      <c r="D2" s="4" t="s">
        <v>8</v>
      </c>
      <c r="E2" s="6">
        <v>25</v>
      </c>
      <c r="F2" s="4" t="s">
        <v>9</v>
      </c>
      <c r="G2" s="4" t="s">
        <v>10</v>
      </c>
    </row>
    <row r="3" spans="1:7">
      <c r="A3" s="4">
        <v>100002</v>
      </c>
      <c r="B3" s="5">
        <v>41306</v>
      </c>
      <c r="C3" s="4" t="s">
        <v>11</v>
      </c>
      <c r="D3" s="4" t="s">
        <v>12</v>
      </c>
      <c r="E3" s="6">
        <v>30</v>
      </c>
      <c r="F3" s="4" t="s">
        <v>13</v>
      </c>
      <c r="G3" s="4" t="s">
        <v>14</v>
      </c>
    </row>
    <row r="4" spans="1:7">
      <c r="A4" s="4">
        <v>100003</v>
      </c>
      <c r="B4" s="5">
        <v>41307</v>
      </c>
      <c r="C4" s="4" t="s">
        <v>15</v>
      </c>
      <c r="D4" s="4" t="s">
        <v>12</v>
      </c>
      <c r="E4" s="6">
        <v>15</v>
      </c>
      <c r="F4" s="4" t="s">
        <v>13</v>
      </c>
      <c r="G4" s="4" t="s">
        <v>16</v>
      </c>
    </row>
    <row r="5" spans="1:7">
      <c r="A5" s="4">
        <v>100004</v>
      </c>
      <c r="B5" s="5">
        <v>41308</v>
      </c>
      <c r="C5" s="4" t="s">
        <v>11</v>
      </c>
      <c r="D5" s="4" t="s">
        <v>8</v>
      </c>
      <c r="E5" s="6">
        <v>32</v>
      </c>
      <c r="F5" s="4" t="s">
        <v>9</v>
      </c>
      <c r="G5" s="4" t="s">
        <v>14</v>
      </c>
    </row>
    <row r="6" spans="1:7">
      <c r="A6" s="4">
        <v>100005</v>
      </c>
      <c r="B6" s="5">
        <v>41308</v>
      </c>
      <c r="C6" s="4" t="s">
        <v>17</v>
      </c>
      <c r="D6" s="4" t="s">
        <v>18</v>
      </c>
      <c r="E6" s="6">
        <v>25</v>
      </c>
      <c r="F6" s="4" t="s">
        <v>13</v>
      </c>
      <c r="G6" s="4" t="s">
        <v>10</v>
      </c>
    </row>
    <row r="7" spans="1:12">
      <c r="A7" s="4">
        <v>100006</v>
      </c>
      <c r="B7" s="5">
        <v>41308</v>
      </c>
      <c r="C7" s="4" t="s">
        <v>15</v>
      </c>
      <c r="D7" s="4" t="s">
        <v>12</v>
      </c>
      <c r="E7" s="6">
        <v>18</v>
      </c>
      <c r="F7" s="4" t="s">
        <v>19</v>
      </c>
      <c r="G7" s="4" t="s">
        <v>20</v>
      </c>
      <c r="L7" s="14"/>
    </row>
    <row r="8" spans="1:12">
      <c r="A8" s="4">
        <v>100007</v>
      </c>
      <c r="B8" s="5">
        <v>41308</v>
      </c>
      <c r="C8" s="4" t="s">
        <v>7</v>
      </c>
      <c r="D8" s="4" t="s">
        <v>18</v>
      </c>
      <c r="E8" s="6">
        <v>15</v>
      </c>
      <c r="F8" s="4" t="s">
        <v>21</v>
      </c>
      <c r="G8" s="4" t="s">
        <v>16</v>
      </c>
      <c r="L8" s="14"/>
    </row>
    <row r="9" spans="1:12">
      <c r="A9" s="4">
        <v>100008</v>
      </c>
      <c r="B9" s="5">
        <v>41309</v>
      </c>
      <c r="C9" s="4" t="s">
        <v>15</v>
      </c>
      <c r="D9" s="4" t="s">
        <v>18</v>
      </c>
      <c r="E9" s="6">
        <v>25</v>
      </c>
      <c r="F9" s="4" t="s">
        <v>13</v>
      </c>
      <c r="G9" s="4" t="s">
        <v>20</v>
      </c>
      <c r="L9" s="14"/>
    </row>
    <row r="10" spans="1:12">
      <c r="A10" s="4">
        <v>100009</v>
      </c>
      <c r="B10" s="5">
        <v>41309</v>
      </c>
      <c r="C10" s="4" t="s">
        <v>11</v>
      </c>
      <c r="D10" s="4" t="s">
        <v>8</v>
      </c>
      <c r="E10" s="6">
        <v>30</v>
      </c>
      <c r="F10" s="4" t="s">
        <v>19</v>
      </c>
      <c r="G10" s="4" t="s">
        <v>22</v>
      </c>
      <c r="L10" s="14"/>
    </row>
    <row r="11" spans="1:12">
      <c r="A11" s="4">
        <v>100010</v>
      </c>
      <c r="B11" s="5">
        <v>41309</v>
      </c>
      <c r="C11" s="4" t="s">
        <v>17</v>
      </c>
      <c r="D11" s="4" t="s">
        <v>18</v>
      </c>
      <c r="E11" s="6">
        <v>15</v>
      </c>
      <c r="F11" s="4" t="s">
        <v>21</v>
      </c>
      <c r="G11" s="4" t="s">
        <v>14</v>
      </c>
      <c r="L11" s="14"/>
    </row>
    <row r="12" spans="1:12">
      <c r="A12" s="4">
        <v>100011</v>
      </c>
      <c r="B12" s="5">
        <v>41309</v>
      </c>
      <c r="C12" s="4" t="s">
        <v>23</v>
      </c>
      <c r="D12" s="4" t="s">
        <v>24</v>
      </c>
      <c r="E12" s="6">
        <v>25</v>
      </c>
      <c r="F12" s="4" t="s">
        <v>13</v>
      </c>
      <c r="G12" s="4" t="s">
        <v>16</v>
      </c>
      <c r="L12" s="14"/>
    </row>
    <row r="13" spans="1:12">
      <c r="A13" s="4">
        <v>100012</v>
      </c>
      <c r="B13" s="5">
        <v>41309</v>
      </c>
      <c r="C13" s="4" t="s">
        <v>7</v>
      </c>
      <c r="D13" s="4" t="s">
        <v>12</v>
      </c>
      <c r="E13" s="6">
        <v>14</v>
      </c>
      <c r="F13" s="4" t="s">
        <v>9</v>
      </c>
      <c r="G13" s="4" t="s">
        <v>14</v>
      </c>
      <c r="L13" s="14"/>
    </row>
    <row r="14" spans="1:12">
      <c r="A14" s="4">
        <v>100013</v>
      </c>
      <c r="B14" s="5">
        <v>41310</v>
      </c>
      <c r="C14" s="4" t="s">
        <v>7</v>
      </c>
      <c r="D14" s="4" t="s">
        <v>12</v>
      </c>
      <c r="E14" s="6">
        <v>25</v>
      </c>
      <c r="F14" s="7" t="s">
        <v>25</v>
      </c>
      <c r="G14" s="4" t="s">
        <v>20</v>
      </c>
      <c r="L14" s="14"/>
    </row>
    <row r="15" spans="1:12">
      <c r="A15" s="4">
        <v>100014</v>
      </c>
      <c r="B15" s="5">
        <v>41310</v>
      </c>
      <c r="C15" s="4" t="s">
        <v>15</v>
      </c>
      <c r="D15" s="4" t="s">
        <v>8</v>
      </c>
      <c r="E15" s="6">
        <v>30</v>
      </c>
      <c r="F15" s="4" t="s">
        <v>9</v>
      </c>
      <c r="G15" s="4" t="s">
        <v>16</v>
      </c>
      <c r="L15" s="14"/>
    </row>
    <row r="16" spans="1:12">
      <c r="A16" s="4">
        <v>100015</v>
      </c>
      <c r="B16" s="5">
        <v>41310</v>
      </c>
      <c r="C16" s="4" t="s">
        <v>17</v>
      </c>
      <c r="D16" s="4" t="s">
        <v>24</v>
      </c>
      <c r="E16" s="6">
        <v>15</v>
      </c>
      <c r="F16" s="4" t="s">
        <v>13</v>
      </c>
      <c r="G16" s="4" t="s">
        <v>10</v>
      </c>
      <c r="L16" s="15"/>
    </row>
    <row r="17" spans="1:7">
      <c r="A17" s="4">
        <v>100016</v>
      </c>
      <c r="B17" s="5">
        <v>41310</v>
      </c>
      <c r="C17" s="4" t="s">
        <v>11</v>
      </c>
      <c r="D17" s="4" t="s">
        <v>8</v>
      </c>
      <c r="E17" s="6">
        <v>15</v>
      </c>
      <c r="F17" s="4" t="s">
        <v>19</v>
      </c>
      <c r="G17" s="4" t="s">
        <v>22</v>
      </c>
    </row>
    <row r="18" spans="1:7">
      <c r="A18" s="4">
        <v>100017</v>
      </c>
      <c r="B18" s="5">
        <v>41311</v>
      </c>
      <c r="C18" s="4" t="s">
        <v>7</v>
      </c>
      <c r="D18" s="4" t="s">
        <v>24</v>
      </c>
      <c r="E18" s="6">
        <v>25</v>
      </c>
      <c r="F18" s="4" t="s">
        <v>19</v>
      </c>
      <c r="G18" s="4" t="s">
        <v>14</v>
      </c>
    </row>
    <row r="19" spans="1:7">
      <c r="A19" s="4">
        <v>100018</v>
      </c>
      <c r="B19" s="5">
        <v>41312</v>
      </c>
      <c r="C19" s="4" t="s">
        <v>7</v>
      </c>
      <c r="D19" s="4" t="s">
        <v>8</v>
      </c>
      <c r="E19" s="6">
        <v>30</v>
      </c>
      <c r="F19" s="4" t="s">
        <v>9</v>
      </c>
      <c r="G19" s="4" t="s">
        <v>16</v>
      </c>
    </row>
    <row r="20" spans="1:7">
      <c r="A20" s="4">
        <v>100019</v>
      </c>
      <c r="B20" s="5">
        <v>41313</v>
      </c>
      <c r="C20" s="4" t="s">
        <v>17</v>
      </c>
      <c r="D20" s="4" t="s">
        <v>12</v>
      </c>
      <c r="E20" s="6">
        <v>13</v>
      </c>
      <c r="F20" s="4" t="s">
        <v>13</v>
      </c>
      <c r="G20" s="4" t="s">
        <v>20</v>
      </c>
    </row>
    <row r="21" spans="1:7">
      <c r="A21" s="4">
        <v>100020</v>
      </c>
      <c r="B21" s="5">
        <v>41313</v>
      </c>
      <c r="C21" s="4" t="s">
        <v>11</v>
      </c>
      <c r="D21" s="4" t="s">
        <v>18</v>
      </c>
      <c r="E21" s="6">
        <v>25</v>
      </c>
      <c r="F21" s="4" t="s">
        <v>21</v>
      </c>
      <c r="G21" s="4" t="s">
        <v>16</v>
      </c>
    </row>
    <row r="22" spans="1:7">
      <c r="A22" s="4">
        <v>100021</v>
      </c>
      <c r="B22" s="5">
        <v>41313</v>
      </c>
      <c r="C22" s="4" t="s">
        <v>15</v>
      </c>
      <c r="D22" s="4" t="s">
        <v>24</v>
      </c>
      <c r="E22" s="6">
        <v>30</v>
      </c>
      <c r="F22" s="4" t="s">
        <v>19</v>
      </c>
      <c r="G22" s="4" t="s">
        <v>22</v>
      </c>
    </row>
    <row r="23" spans="1:7">
      <c r="A23" s="4">
        <v>100022</v>
      </c>
      <c r="B23" s="5">
        <v>41313</v>
      </c>
      <c r="C23" s="4" t="s">
        <v>11</v>
      </c>
      <c r="D23" s="4" t="s">
        <v>12</v>
      </c>
      <c r="E23" s="6">
        <v>15</v>
      </c>
      <c r="F23" s="4" t="s">
        <v>25</v>
      </c>
      <c r="G23" s="4" t="s">
        <v>14</v>
      </c>
    </row>
    <row r="24" spans="1:7">
      <c r="A24" s="4">
        <v>100023</v>
      </c>
      <c r="B24" s="5">
        <v>41313</v>
      </c>
      <c r="C24" s="4" t="s">
        <v>7</v>
      </c>
      <c r="D24" s="4" t="s">
        <v>24</v>
      </c>
      <c r="E24" s="6">
        <v>25</v>
      </c>
      <c r="F24" s="4" t="s">
        <v>9</v>
      </c>
      <c r="G24" s="4" t="s">
        <v>10</v>
      </c>
    </row>
    <row r="25" spans="1:7">
      <c r="A25" s="4">
        <v>100024</v>
      </c>
      <c r="B25" s="5">
        <v>41314</v>
      </c>
      <c r="C25" s="4" t="s">
        <v>17</v>
      </c>
      <c r="D25" s="4" t="s">
        <v>12</v>
      </c>
      <c r="E25" s="6">
        <v>34</v>
      </c>
      <c r="F25" s="4" t="s">
        <v>13</v>
      </c>
      <c r="G25" s="4" t="s">
        <v>20</v>
      </c>
    </row>
    <row r="26" spans="5:5">
      <c r="E26">
        <f>SUM(E2:E25)</f>
        <v>551</v>
      </c>
    </row>
    <row r="27" spans="5:8">
      <c r="E27" s="8" t="s">
        <v>26</v>
      </c>
      <c r="H27" s="9" t="s">
        <v>27</v>
      </c>
    </row>
    <row r="28" spans="6:6">
      <c r="F28" s="10"/>
    </row>
    <row r="29" ht="15.75" spans="5:8">
      <c r="E29" s="11" t="s">
        <v>28</v>
      </c>
      <c r="G29" t="s">
        <v>10</v>
      </c>
      <c r="H29">
        <f>COUNTIF(G2:G25,"Boston")</f>
        <v>4</v>
      </c>
    </row>
    <row r="30" ht="15.75" spans="5:8">
      <c r="E30" s="11" t="s">
        <v>29</v>
      </c>
      <c r="G30" t="s">
        <v>24</v>
      </c>
      <c r="H30">
        <f>COUNTIF(D2:D25,"microwave")</f>
        <v>5</v>
      </c>
    </row>
    <row r="31" ht="15.75" spans="5:8">
      <c r="E31" s="11" t="s">
        <v>30</v>
      </c>
      <c r="G31" t="s">
        <v>13</v>
      </c>
      <c r="H31">
        <f>COUNTIF(F2:F25,"truck 3")</f>
        <v>8</v>
      </c>
    </row>
    <row r="32" ht="15.75" spans="5:8">
      <c r="E32" s="11" t="s">
        <v>31</v>
      </c>
      <c r="G32" s="4" t="s">
        <v>11</v>
      </c>
      <c r="H32">
        <f>COUNTIF(C2:C25,"Peter White")</f>
        <v>6</v>
      </c>
    </row>
    <row r="33" ht="15.75" spans="5:11">
      <c r="E33" s="11" t="s">
        <v>32</v>
      </c>
      <c r="H33">
        <f>COUNTIF(E2:E25,"&lt;20")</f>
        <v>9</v>
      </c>
      <c r="K33" s="9" t="s">
        <v>33</v>
      </c>
    </row>
    <row r="34" ht="15.75" spans="5:5">
      <c r="E34" s="11"/>
    </row>
    <row r="35" ht="15.75" spans="5:6">
      <c r="E35" s="11"/>
      <c r="F35" s="10"/>
    </row>
    <row r="36" ht="15.75" spans="5:8">
      <c r="E36" s="11" t="s">
        <v>34</v>
      </c>
      <c r="H36">
        <f>SUMIF(D2:D25,"refrigerator",E2:E25)</f>
        <v>105</v>
      </c>
    </row>
    <row r="37" ht="15.75" spans="5:8">
      <c r="E37" s="11" t="s">
        <v>35</v>
      </c>
      <c r="H37">
        <f>SUMIF(D2:D25,"washing machine",E2:E25)</f>
        <v>164</v>
      </c>
    </row>
    <row r="38" ht="15.75" spans="5:8">
      <c r="E38" s="11" t="s">
        <v>36</v>
      </c>
      <c r="H38">
        <f>SUMIF(F2:F25,"truck 4",E2:E25)</f>
        <v>156</v>
      </c>
    </row>
    <row r="39" ht="15.75" spans="5:11">
      <c r="E39" s="11" t="s">
        <v>37</v>
      </c>
      <c r="H39" s="12">
        <f>SUMIF(F2:F25,"truck*",E2:E25)</f>
        <v>511</v>
      </c>
      <c r="K39" s="9" t="s">
        <v>33</v>
      </c>
    </row>
    <row r="40" ht="15.75" spans="5:5">
      <c r="E40" s="11"/>
    </row>
    <row r="41" ht="15.75" spans="5:6">
      <c r="E41" s="11"/>
      <c r="F41" s="10"/>
    </row>
    <row r="42" ht="15.75" spans="5:8">
      <c r="E42" s="11" t="s">
        <v>38</v>
      </c>
      <c r="H42">
        <f>COUNTIFS(D2:D25,"microwave",G2:G25,"Boston")</f>
        <v>2</v>
      </c>
    </row>
    <row r="43" ht="15.75" spans="5:8">
      <c r="E43" s="11" t="s">
        <v>39</v>
      </c>
      <c r="H43">
        <f>COUNTIFS(C2:C25,"Peter White",F2:F25,"truck 1")</f>
        <v>2</v>
      </c>
    </row>
    <row r="44" ht="15.75" spans="5:11">
      <c r="E44" s="11" t="s">
        <v>40</v>
      </c>
      <c r="H44">
        <f>COUNTIFS(G2:G25,"Boston",B2:B25,"&gt;"&amp;DATE(2013,2,3))</f>
        <v>2</v>
      </c>
      <c r="K44" s="9" t="s">
        <v>33</v>
      </c>
    </row>
    <row r="45" ht="15.75" spans="5:11">
      <c r="E45" s="11" t="s">
        <v>41</v>
      </c>
      <c r="H45">
        <f>COUNTIFS(B2:B25,"&gt;="&amp;DATE(2013,2,3),B2:B25,"&lt;="&amp;DATE(2013,2,6))</f>
        <v>14</v>
      </c>
      <c r="K45" s="9" t="s">
        <v>33</v>
      </c>
    </row>
    <row r="46" ht="15.75" spans="5:6">
      <c r="E46" s="11"/>
      <c r="F46" s="10"/>
    </row>
    <row r="47" ht="15.75" spans="5:8">
      <c r="E47" s="11" t="s">
        <v>42</v>
      </c>
      <c r="H47">
        <f>SUMIFS(E2:E25,D2:D25,"microwave",G2:G25,"NY")</f>
        <v>25</v>
      </c>
    </row>
    <row r="48" ht="15.75" spans="5:8">
      <c r="E48" s="11" t="s">
        <v>43</v>
      </c>
      <c r="H48">
        <f>SUMIFS(E2:E25,G2:G25,"Pittsburgh",F2:F25,"truck 1")</f>
        <v>75</v>
      </c>
    </row>
    <row r="49" ht="15.75" spans="5:11">
      <c r="E49" s="11" t="s">
        <v>44</v>
      </c>
      <c r="H49">
        <f>SUMIFS(E2:E25,B2:B25,"&gt;="&amp;DATE(2013,2,3),B2:B25,"&lt;="&amp;DATE(2013,2,6))</f>
        <v>309</v>
      </c>
      <c r="K49" s="9" t="s">
        <v>33</v>
      </c>
    </row>
    <row r="50" ht="15.75" spans="5:5">
      <c r="E50" s="11"/>
    </row>
    <row r="51" ht="15.75" spans="5:5">
      <c r="E51" s="11"/>
    </row>
    <row r="52" ht="15.75" spans="5:11">
      <c r="E52" s="11" t="s">
        <v>45</v>
      </c>
      <c r="H52" s="13" cm="1">
        <f t="array" ref="H52">SUM(SUMIFS(E2:E25,G2:G25,{"NY","Baltimore","Philadelphia"}))</f>
        <v>386</v>
      </c>
      <c r="K52" s="9" t="s">
        <v>33</v>
      </c>
    </row>
  </sheetData>
  <autoFilter xmlns:etc="http://www.wps.cn/officeDocument/2017/etCustomData" ref="A1:G27" etc:filterBottomFollowUsedRange="0">
    <extLst/>
  </autoFilter>
  <pageMargins left="0.7" right="0.7" top="0.75" bottom="0.75" header="0.3" footer="0.3"/>
  <pageSetup paperSize="1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Exercise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Amr</cp:lastModifiedBy>
  <dcterms:created xsi:type="dcterms:W3CDTF">2013-06-05T17:23:00Z</dcterms:created>
  <dcterms:modified xsi:type="dcterms:W3CDTF">2025-12-04T09:35:54Z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2023-08-16T19:24:41Z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5d5d4296-7b95-4dff-9f33-67614ceedc23</vt:lpwstr>
  </property>
  <property fmtid="{D5CDD505-2E9C-101B-9397-08002B2CF9AE}" pid="8" name="MSIP_Label_767a5d4c-6e68-416c-b53b-e38e179fc32e_ContentBits">
    <vt:lpwstr>0</vt:lpwstr>
  </property>
  <property fmtid="{D5CDD505-2E9C-101B-9397-08002B2CF9AE}" pid="9" name="ICV">
    <vt:lpwstr>1733D544FA584C659F02EB68B18295D0_13</vt:lpwstr>
  </property>
  <property fmtid="{D5CDD505-2E9C-101B-9397-08002B2CF9AE}" pid="10" name="KSOProductBuildVer">
    <vt:lpwstr>1033-12.2.0.23155</vt:lpwstr>
  </property>
</Properties>
</file>